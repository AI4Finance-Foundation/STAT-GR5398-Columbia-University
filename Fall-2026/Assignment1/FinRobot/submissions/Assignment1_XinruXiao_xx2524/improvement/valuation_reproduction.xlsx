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c122a574d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2d9220399b44846"/>
    <x:sheet xmlns:r="http://schemas.openxmlformats.org/officeDocument/2006/relationships" name="DCF Reproduction" sheetId="2" r:id="Rebb79b262b7149e2"/>
    <x:sheet xmlns:r="http://schemas.openxmlformats.org/officeDocument/2006/relationships" name="Before After" sheetId="3" r:id="R1a9066aee1e4458c"/>
    <x:sheet xmlns:r="http://schemas.openxmlformats.org/officeDocument/2006/relationships" name="Sources" sheetId="4" r:id="R610e03365827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;[Red](#,##0);-"/>
    <x:numFmt numFmtId="202" formatCode="0.0x"/>
    <x:numFmt numFmtId="203" formatCode="0.0%"/>
    <x:numFmt numFmtId="204" formatCode="$0.00;[Red]($0.00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0" borderId="1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4" fontId="5" fillId="0" borderId="2" xfId="0" applyNumberFormat="1" applyFont="1" applyFill="1" applyBorder="1" applyAlignment="1">
      <x:alignment wrapText="1"/>
    </x:xf>
    <x:xf numFmtId="204" fontId="5" fillId="0" borderId="3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4" fontId="3" fillId="0" borderId="2" xfId="0" applyNumberFormat="1" applyFont="1" applyFill="1" applyBorder="1" applyAlignment="1">
      <x:alignment wrapText="1"/>
    </x:xf>
    <x:xf numFmtId="204" fontId="3" fillId="0" borderId="3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d06c86b3c451b" /><Relationship Type="http://schemas.openxmlformats.org/officeDocument/2006/relationships/theme" Target="/xl/theme/theme1.xml" Id="R94c43b3495004e1f" /><Relationship Type="http://schemas.openxmlformats.org/officeDocument/2006/relationships/sharedStrings" Target="/xl/sharedStrings.xml" Id="R0bcf3d9eb822482a" /><Relationship Type="http://schemas.openxmlformats.org/officeDocument/2006/relationships/worksheet" Target="/xl/worksheets/sheet1.xml" Id="Ra2d9220399b44846" /><Relationship Type="http://schemas.openxmlformats.org/officeDocument/2006/relationships/worksheet" Target="/xl/worksheets/sheet2.xml" Id="Rebb79b262b7149e2" /><Relationship Type="http://schemas.openxmlformats.org/officeDocument/2006/relationships/worksheet" Target="/xl/worksheets/sheet3.xml" Id="R1a9066aee1e4458c" /><Relationship Type="http://schemas.openxmlformats.org/officeDocument/2006/relationships/worksheet" Target="/xl/worksheets/sheet4.xml" Id="R610e0336582747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7cd10b124a40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Synthesized Target: Upstream vs Modified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Upstream reconstructed target</c:v>
          </c:tx>
          <c:cat>
            <c:strRef>
              <c:f>'Before After'!$A$2:$A$6</c:f>
              <c:strCache>
                <c:ptCount val="0"/>
              </c:strCache>
            </c:strRef>
          </c:cat>
          <c:val>
            <c:numRef>
              <c:f>'Before After'!$B$2:$B$6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Modified target</c:v>
          </c:tx>
          <c:cat>
            <c:strRef>
              <c:f>'Before After'!$A$2:$A$6</c:f>
              <c:strCache>
                <c:ptCount val="0"/>
              </c:strCache>
            </c:strRef>
          </c:cat>
          <c:val>
            <c:numRef>
              <c:f>'Before After'!$C$2:$C$6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7cd10b124a40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4dd6f006a6243a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0" hidden="0" customWidth="1"/>
  </x:cols>
  <x:sheetData>
    <x:row r="1">
      <x:c r="A1" s="6" t="str">
        <x:v>NVDA Valuation Inputs</x:v>
      </x:c>
      <x:c r="B1" s="6" t="str">
        <x:v>Value</x:v>
      </x:c>
      <x:c r="C1" s="6" t="str">
        <x:v>Unit</x:v>
      </x:c>
      <x:c r="D1" s="6" t="str">
        <x:v>Notes</x:v>
      </x:c>
      <x:c r="E1" s="6"/>
      <x:c r="F1" s="6"/>
    </x:row>
    <x:row r="2">
      <x:c r="A2" s="7" t="str">
        <x:v>2024A Revenue</x:v>
      </x:c>
      <x:c r="B2" s="26" t="n">
        <x:v>60922000000</x:v>
      </x:c>
      <x:c r="C2" s="7" t="str">
        <x:v>USD</x:v>
      </x:c>
      <x:c r="D2" s="7" t="str">
        <x:v>FMP saved artifact</x:v>
      </x:c>
      <x:c r="E2" s="7"/>
      <x:c r="F2" s="7"/>
    </x:row>
    <x:row r="3">
      <x:c r="A3" s="7" t="str">
        <x:v>2024A Free Cash Flow</x:v>
      </x:c>
      <x:c r="B3" s="26" t="n">
        <x:v>27021000000</x:v>
      </x:c>
      <x:c r="C3" s="7" t="str">
        <x:v>USD</x:v>
      </x:c>
      <x:c r="D3" s="7" t="str">
        <x:v>FMP saved artifact</x:v>
      </x:c>
      <x:c r="E3" s="7"/>
      <x:c r="F3" s="7"/>
    </x:row>
    <x:row r="4">
      <x:c r="A4" s="7" t="str">
        <x:v>2025A Revenue</x:v>
      </x:c>
      <x:c r="B4" s="26" t="n">
        <x:v>130497000000</x:v>
      </x:c>
      <x:c r="C4" s="7" t="str">
        <x:v>USD</x:v>
      </x:c>
      <x:c r="D4" s="7" t="str">
        <x:v>FMP saved artifact</x:v>
      </x:c>
      <x:c r="E4" s="7"/>
      <x:c r="F4" s="7"/>
    </x:row>
    <x:row r="5">
      <x:c r="A5" s="7" t="str">
        <x:v>2025A Free Cash Flow</x:v>
      </x:c>
      <x:c r="B5" s="26" t="n">
        <x:v>60853000000</x:v>
      </x:c>
      <x:c r="C5" s="7" t="str">
        <x:v>USD</x:v>
      </x:c>
      <x:c r="D5" s="7" t="str">
        <x:v>FMP saved artifact</x:v>
      </x:c>
      <x:c r="E5" s="7"/>
      <x:c r="F5" s="7"/>
    </x:row>
    <x:row r="6">
      <x:c r="A6" s="7" t="str">
        <x:v>2026A Revenue</x:v>
      </x:c>
      <x:c r="B6" s="26" t="n">
        <x:v>215938000000</x:v>
      </x:c>
      <x:c r="C6" s="7" t="str">
        <x:v>USD</x:v>
      </x:c>
      <x:c r="D6" s="7" t="str">
        <x:v>FMP saved artifact</x:v>
      </x:c>
      <x:c r="E6" s="7"/>
      <x:c r="F6" s="7"/>
    </x:row>
    <x:row r="7">
      <x:c r="A7" s="7" t="str">
        <x:v>2026A Free Cash Flow</x:v>
      </x:c>
      <x:c r="B7" s="26" t="n">
        <x:v>96676000000</x:v>
      </x:c>
      <x:c r="C7" s="7" t="str">
        <x:v>USD</x:v>
      </x:c>
      <x:c r="D7" s="7" t="str">
        <x:v>FMP saved artifact</x:v>
      </x:c>
      <x:c r="E7" s="7"/>
      <x:c r="F7" s="7"/>
    </x:row>
    <x:row r="8">
      <x:c r="A8" s="7" t="str">
        <x:v>2027E Revenue</x:v>
      </x:c>
      <x:c r="B8" s="26" t="n">
        <x:v>226734900000</x:v>
      </x:c>
      <x:c r="C8" s="7" t="str">
        <x:v>USD</x:v>
      </x:c>
      <x:c r="D8" s="7" t="str">
        <x:v>FinRobot forecast</x:v>
      </x:c>
      <x:c r="E8" s="7"/>
      <x:c r="F8" s="7"/>
    </x:row>
    <x:row r="9">
      <x:c r="A9" s="7" t="str">
        <x:v>2028E Revenue</x:v>
      </x:c>
      <x:c r="B9" s="26" t="n">
        <x:v>240338994000</x:v>
      </x:c>
      <x:c r="C9" s="7" t="str">
        <x:v>USD</x:v>
      </x:c>
      <x:c r="D9" s="7" t="str">
        <x:v>FinRobot forecast</x:v>
      </x:c>
      <x:c r="E9" s="7"/>
      <x:c r="F9" s="7"/>
    </x:row>
    <x:row r="10">
      <x:c r="A10" s="7" t="str">
        <x:v>2029E Revenue</x:v>
      </x:c>
      <x:c r="B10" s="26" t="n">
        <x:v>249952553760</x:v>
      </x:c>
      <x:c r="C10" s="7" t="str">
        <x:v>USD</x:v>
      </x:c>
      <x:c r="D10" s="7" t="str">
        <x:v>FinRobot forecast</x:v>
      </x:c>
      <x:c r="E10" s="7"/>
      <x:c r="F10" s="7"/>
    </x:row>
    <x:row r="11">
      <x:c r="A11" s="7" t="str">
        <x:v>Net Debt</x:v>
      </x:c>
      <x:c r="B11" s="28" t="n">
        <x:v>807000000</x:v>
      </x:c>
      <x:c r="C11" s="7" t="str">
        <x:v>USD</x:v>
      </x:c>
      <x:c r="D11" s="7" t="str">
        <x:v>2026A debt minus cash</x:v>
      </x:c>
      <x:c r="E11" s="7"/>
      <x:c r="F11" s="7"/>
    </x:row>
    <x:row r="12">
      <x:c r="A12" s="7" t="str">
        <x:v>Shares Outstanding</x:v>
      </x:c>
      <x:c r="B12" s="28" t="n">
        <x:v>24147004241.781548</x:v>
      </x:c>
      <x:c r="C12" s="7" t="str">
        <x:v>shares</x:v>
      </x:c>
      <x:c r="D12" s="7" t="str">
        <x:v>Implied from market cap / share price</x:v>
      </x:c>
      <x:c r="E12" s="7"/>
      <x:c r="F12" s="7"/>
    </x:row>
    <x:row r="13">
      <x:c r="A13" s="7" t="str">
        <x:v>Historical Median EV/EBITDA</x:v>
      </x:c>
      <x:c r="B13" s="30" t="n">
        <x:v>43.452219</x:v>
      </x:c>
      <x:c r="C13" s="7" t="str">
        <x:v>x</x:v>
      </x:c>
      <x:c r="D13" s="7" t="str">
        <x:v>Median historical multiple used by modified engine</x:v>
      </x:c>
      <x:c r="E13" s="7"/>
      <x:c r="F13" s="7"/>
    </x:row>
    <x:row r="14">
      <x:c r="A14" s="7" t="str">
        <x:v>WACC</x:v>
      </x:c>
      <x:c r="B14" s="32" t="n">
        <x:v>0.1</x:v>
      </x:c>
      <x:c r="C14" s="7" t="str">
        <x:v>%</x:v>
      </x:c>
      <x:c r="D14" s="7" t="str">
        <x:v>Explicit model assumption</x:v>
      </x:c>
      <x:c r="E14" s="7"/>
      <x:c r="F14" s="7"/>
    </x:row>
    <x:row r="15">
      <x:c r="A15" s="7" t="str">
        <x:v>Terminal Growth</x:v>
      </x:c>
      <x:c r="B15" s="32" t="n">
        <x:v>0.025</x:v>
      </x:c>
      <x:c r="C15" s="7" t="str">
        <x:v>%</x:v>
      </x:c>
      <x:c r="D15" s="7" t="str">
        <x:v>Explicit model assumption</x:v>
      </x:c>
      <x:c r="E15" s="7"/>
      <x:c r="F15" s="7"/>
    </x:row>
    <x:row r="16">
      <x:c r="A16" s="7" t="str">
        <x:v>Post-Forecast Growth (Years 4-5)</x:v>
      </x:c>
      <x:c r="B16" s="32" t="n">
        <x:v>0.03</x:v>
      </x:c>
      <x:c r="C16" s="7" t="str">
        <x:v>%</x:v>
      </x:c>
      <x:c r="D16" s="7" t="str">
        <x:v>Explicit model assumption</x:v>
      </x:c>
      <x:c r="E16" s="7"/>
      <x:c r="F16" s="7"/>
    </x:row>
    <x:row r="17">
      <x:c r="A17" s="7" t="str">
        <x:v>Long-Run Growth (Years 6-10)</x:v>
      </x:c>
      <x:c r="B17" s="32" t="n">
        <x:v>0.025</x:v>
      </x:c>
      <x:c r="C17" s="7" t="str">
        <x:v>%</x:v>
      </x:c>
      <x:c r="D17" s="7" t="str">
        <x:v>Explicit model assumption</x:v>
      </x:c>
      <x:c r="E17" s="7"/>
      <x:c r="F17" s="7"/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  <x:row r="21">
      <x:c r="A21" s="7"/>
      <x:c r="B21" s="7"/>
      <x:c r="C21" s="7"/>
      <x:c r="D21" s="7"/>
      <x:c r="E21" s="7"/>
      <x:c r="F21" s="7"/>
    </x:row>
    <x:row r="22">
      <x:c r="A22" s="7"/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  <x:row r="24">
      <x:c r="A24" s="7"/>
      <x:c r="B24" s="7"/>
      <x:c r="C24" s="7"/>
      <x:c r="D24" s="7"/>
      <x:c r="E24" s="7"/>
      <x:c r="F24" s="7"/>
    </x:row>
    <x:row r="25">
      <x:c r="A25" s="7"/>
      <x:c r="B25" s="7"/>
      <x:c r="C25" s="7"/>
      <x:c r="D25" s="7"/>
      <x:c r="E25" s="7"/>
      <x:c r="F25" s="7"/>
    </x:row>
    <x:row r="26">
      <x:c r="A26" s="7"/>
      <x:c r="B26" s="7"/>
      <x:c r="C26" s="7"/>
      <x:c r="D26" s="7"/>
      <x:c r="E26" s="7"/>
      <x:c r="F26" s="7"/>
    </x:row>
    <x:row r="27">
      <x:c r="A27" s="7"/>
      <x:c r="B27" s="7"/>
      <x:c r="C27" s="7"/>
      <x:c r="D27" s="7"/>
      <x:c r="E27" s="7"/>
      <x:c r="F27" s="7"/>
    </x:row>
    <x:row r="28">
      <x:c r="A28" s="7"/>
      <x:c r="B28" s="7"/>
      <x:c r="C28" s="7"/>
      <x:c r="D28" s="7"/>
      <x:c r="E28" s="7"/>
      <x:c r="F28" s="7"/>
    </x:row>
    <x:row r="29">
      <x:c r="A29" s="7"/>
      <x:c r="B29" s="7"/>
      <x:c r="C29" s="7"/>
      <x:c r="D29" s="7"/>
      <x:c r="E29" s="7"/>
      <x:c r="F29" s="7"/>
    </x:row>
    <x:row r="30">
      <x:c r="A30" s="7"/>
      <x:c r="B30" s="7"/>
      <x:c r="C30" s="7"/>
      <x:c r="D30" s="7"/>
      <x:c r="E30" s="7"/>
      <x:c r="F30" s="7"/>
    </x:row>
    <x:row r="31">
      <x:c r="A31" s="7"/>
      <x:c r="B31" s="7"/>
      <x:c r="C31" s="7"/>
      <x:c r="D31" s="7"/>
      <x:c r="E31" s="7"/>
      <x:c r="F31" s="7"/>
    </x:row>
    <x:row r="32">
      <x:c r="A32" s="7"/>
      <x:c r="B32" s="7"/>
      <x:c r="C32" s="7"/>
      <x:c r="D32" s="7"/>
      <x:c r="E32" s="7"/>
      <x:c r="F32" s="7"/>
    </x:row>
    <x:row r="33">
      <x:c r="A33" s="7"/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7"/>
      <x:c r="B36" s="7"/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/>
      <x:c r="B38" s="7"/>
      <x:c r="C38" s="7"/>
      <x:c r="D38" s="7"/>
      <x:c r="E38" s="7"/>
      <x:c r="F38" s="7"/>
    </x:row>
    <x:row r="39">
      <x:c r="A39" s="7"/>
      <x:c r="B39" s="7"/>
      <x:c r="C39" s="7"/>
      <x:c r="D39" s="7"/>
      <x:c r="E39" s="7"/>
      <x:c r="F39" s="7"/>
    </x:row>
    <x:row r="40">
      <x:c r="A40" s="7"/>
      <x:c r="B40" s="7"/>
      <x:c r="C40" s="7"/>
      <x:c r="D40" s="7"/>
      <x:c r="E40" s="7"/>
      <x:c r="F4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36" hidden="0" customWidth="1"/>
  </x:cols>
  <x:sheetData>
    <x:row r="1">
      <x:c r="A1" s="6" t="str">
        <x:v>DCF Reproduction</x:v>
      </x:c>
      <x:c r="B1" s="6" t="str">
        <x:v>FCF / Value</x:v>
      </x:c>
      <x:c r="C1" s="6" t="str">
        <x:v>Discount Factor</x:v>
      </x:c>
      <x:c r="D1" s="6" t="str">
        <x:v>PV</x:v>
      </x:c>
      <x:c r="E1" s="6" t="str">
        <x:v>Formula / Note</x:v>
      </x:c>
      <x:c r="F1" s="6" t="str">
        <x:v>Check</x:v>
      </x:c>
    </x:row>
    <x:row r="2">
      <x:c r="A2" s="7" t="str">
        <x:v>2024A FCF Margin</x:v>
      </x:c>
      <x:c r="B2" s="34" t="n">
        <x:f>Inputs!B3/Inputs!B2</x:f>
        <x:v>0.4435343554052723</x:v>
      </x:c>
      <x:c r="C2" s="7"/>
      <x:c r="D2" s="7"/>
      <x:c r="E2" s="7" t="n">
        <x:f>Inputs!B3/Inputs!B2</x:f>
        <x:v>0.4435343554052723</x:v>
      </x:c>
      <x:c r="F2" s="7"/>
    </x:row>
    <x:row r="3">
      <x:c r="A3" s="7" t="str">
        <x:v>2025A FCF Margin</x:v>
      </x:c>
      <x:c r="B3" s="34" t="n">
        <x:f>Inputs!B5/Inputs!B4</x:f>
        <x:v>0.46631723334636044</x:v>
      </x:c>
      <x:c r="C3" s="7"/>
      <x:c r="D3" s="7"/>
      <x:c r="E3" s="7" t="n">
        <x:f>Inputs!B5/Inputs!B4</x:f>
        <x:v>0.46631723334636044</x:v>
      </x:c>
      <x:c r="F3" s="7"/>
    </x:row>
    <x:row r="4">
      <x:c r="A4" s="7" t="str">
        <x:v>2026A FCF Margin</x:v>
      </x:c>
      <x:c r="B4" s="34" t="n">
        <x:f>Inputs!B7/Inputs!B6</x:f>
        <x:v>0.44770258129648327</x:v>
      </x:c>
      <x:c r="C4" s="7"/>
      <x:c r="D4" s="7"/>
      <x:c r="E4" s="7" t="n">
        <x:f>Inputs!B7/Inputs!B6</x:f>
        <x:v>0.44770258129648327</x:v>
      </x:c>
      <x:c r="F4" s="7"/>
    </x:row>
    <x:row r="5">
      <x:c r="A5" s="7" t="str">
        <x:v>Normalized FCF Margin</x:v>
      </x:c>
      <x:c r="B5" s="34" t="n">
        <x:f>AVERAGE(B2:B4)</x:f>
        <x:v>0.45251805668270534</x:v>
      </x:c>
      <x:c r="C5" s="7"/>
      <x:c r="D5" s="7"/>
      <x:c r="E5" s="7"/>
      <x:c r="F5" s="7"/>
    </x:row>
    <x:row r="6">
      <x:c r="A6" s="7"/>
      <x:c r="B6" s="12"/>
      <x:c r="C6" s="7"/>
      <x:c r="D6" s="7"/>
      <x:c r="E6" s="7"/>
      <x:c r="F6" s="7"/>
    </x:row>
    <x:row r="7">
      <x:c r="A7" s="7" t="str">
        <x:v>Projection Year</x:v>
      </x:c>
      <x:c r="B7" s="12" t="str">
        <x:v>Projected FCF</x:v>
      </x:c>
      <x:c r="C7" s="7" t="str">
        <x:v>Discount Factor</x:v>
      </x:c>
      <x:c r="D7" s="7" t="str">
        <x:v>PV of FCF</x:v>
      </x:c>
      <x:c r="E7" s="7" t="str">
        <x:v>Growth rule</x:v>
      </x:c>
      <x:c r="F7" s="7" t="str">
        <x:v>Revenue basis</x:v>
      </x:c>
    </x:row>
    <x:row r="8">
      <x:c r="A8" s="7" t="n">
        <x:v>1</x:v>
      </x:c>
      <x:c r="B8" s="36" t="n">
        <x:f>Inputs!B8*$B$5</x:f>
        <x:v>102601636330.14752</x:v>
      </x:c>
      <x:c r="C8" s="7" t="n">
        <x:f>1/(1+Inputs!B14)^1</x:f>
        <x:v>0.9090909090909091</x:v>
      </x:c>
      <x:c r="D8" s="7" t="n">
        <x:f>B8*C8</x:f>
        <x:v>93274214845.58865</x:v>
      </x:c>
      <x:c r="E8" s="7" t="str">
        <x:v>Forecast revenue × normalized FCF margin</x:v>
      </x:c>
      <x:c r="F8" s="7" t="str">
        <x:v>2027E Revenue</x:v>
      </x:c>
    </x:row>
    <x:row r="9">
      <x:c r="A9" s="7" t="n">
        <x:v>2</x:v>
      </x:c>
      <x:c r="B9" s="36" t="n">
        <x:f>Inputs!B9*$B$5</x:f>
        <x:v>108757734509.95638</x:v>
      </x:c>
      <x:c r="C9" s="7" t="n">
        <x:f>1/(1+Inputs!B14)^2</x:f>
        <x:v>0.8264462809917354</x:v>
      </x:c>
      <x:c r="D9" s="7" t="n">
        <x:f>B9*C9</x:f>
        <x:v>89882425214.83997</x:v>
      </x:c>
      <x:c r="E9" s="7" t="str">
        <x:v>Forecast revenue × normalized FCF margin</x:v>
      </x:c>
      <x:c r="F9" s="7" t="str">
        <x:v>2028E Revenue</x:v>
      </x:c>
    </x:row>
    <x:row r="10">
      <x:c r="A10" s="7" t="n">
        <x:v>3</x:v>
      </x:c>
      <x:c r="B10" s="36" t="n">
        <x:f>Inputs!B10*$B$5</x:f>
        <x:v>113108043890.35463</x:v>
      </x:c>
      <x:c r="C10" s="7" t="n">
        <x:f>1/(1+Inputs!B14)^3</x:f>
        <x:v>0.7513148009015775</x:v>
      </x:c>
      <x:c r="D10" s="7" t="n">
        <x:f>B10*C10</x:f>
        <x:v>84979747475.84868</x:v>
      </x:c>
      <x:c r="E10" s="7" t="str">
        <x:v>Forecast revenue × normalized FCF margin</x:v>
      </x:c>
      <x:c r="F10" s="7" t="str">
        <x:v>2029E Revenue</x:v>
      </x:c>
    </x:row>
    <x:row r="11">
      <x:c r="A11" s="7" t="n">
        <x:v>4</x:v>
      </x:c>
      <x:c r="B11" s="36" t="n">
        <x:f>B10*(1+Inputs!B16)</x:f>
        <x:v>116501285207.06528</x:v>
      </x:c>
      <x:c r="C11" s="7" t="n">
        <x:f>1/(1+Inputs!B14)^4</x:f>
        <x:v>0.6830134553650705</x:v>
      </x:c>
      <x:c r="D11" s="7" t="n">
        <x:f>B11*C11</x:f>
        <x:v>79571945363.74924</x:v>
      </x:c>
      <x:c r="E11" s="7" t="str">
        <x:v>3.0% post-forecast growth</x:v>
      </x:c>
      <x:c r="F11" s="7"/>
    </x:row>
    <x:row r="12">
      <x:c r="A12" s="7" t="n">
        <x:v>5</x:v>
      </x:c>
      <x:c r="B12" s="36" t="n">
        <x:f>B11*(1+Inputs!B16)</x:f>
        <x:v>119996323763.27724</x:v>
      </x:c>
      <x:c r="C12" s="7" t="n">
        <x:f>1/(1+Inputs!B14)^5</x:f>
        <x:v>0.6209213230591549</x:v>
      </x:c>
      <x:c r="D12" s="7" t="n">
        <x:f>B12*C12</x:f>
        <x:v>74508276113.32881</x:v>
      </x:c>
      <x:c r="E12" s="7" t="str">
        <x:v>3.0% post-forecast growth</x:v>
      </x:c>
      <x:c r="F12" s="7"/>
    </x:row>
    <x:row r="13">
      <x:c r="A13" s="7" t="n">
        <x:v>6</x:v>
      </x:c>
      <x:c r="B13" s="36" t="n">
        <x:f>B12*(1+Inputs!B17)</x:f>
        <x:v>122996231857.35916</x:v>
      </x:c>
      <x:c r="C13" s="7" t="n">
        <x:f>1/(1+Inputs!B14)^6</x:f>
        <x:v>0.5644739300537772</x:v>
      </x:c>
      <x:c r="D13" s="7" t="n">
        <x:f>B13*C13</x:f>
        <x:v>69428166378.32912</x:v>
      </x:c>
      <x:c r="E13" s="7" t="str">
        <x:v>2.5% long-run growth</x:v>
      </x:c>
      <x:c r="F13" s="7"/>
    </x:row>
    <x:row r="14">
      <x:c r="A14" s="7" t="n">
        <x:v>7</x:v>
      </x:c>
      <x:c r="B14" s="36" t="n">
        <x:f>B13*(1+Inputs!B17)</x:f>
        <x:v>126071137653.79314</x:v>
      </x:c>
      <x:c r="C14" s="7" t="n">
        <x:f>1/(1+Inputs!B14)^7</x:f>
        <x:v>0.5131581182307065</x:v>
      </x:c>
      <x:c r="D14" s="7" t="n">
        <x:f>B14*C14</x:f>
        <x:v>64694427761.62485</x:v>
      </x:c>
      <x:c r="E14" s="7" t="str">
        <x:v>2.5% long-run growth</x:v>
      </x:c>
      <x:c r="F14" s="7"/>
    </x:row>
    <x:row r="15">
      <x:c r="A15" s="7" t="n">
        <x:v>8</x:v>
      </x:c>
      <x:c r="B15" s="36" t="n">
        <x:f>B14*(1+Inputs!B17)</x:f>
        <x:v>129222916095.13795</x:v>
      </x:c>
      <x:c r="C15" s="7" t="n">
        <x:f>1/(1+Inputs!B14)^8</x:f>
        <x:v>0.46650738020973315</x:v>
      </x:c>
      <x:c r="D15" s="7" t="n">
        <x:f>B15*C15</x:f>
        <x:v>60283444050.604965</x:v>
      </x:c>
      <x:c r="E15" s="7" t="str">
        <x:v>2.5% long-run growth</x:v>
      </x:c>
      <x:c r="F15" s="7"/>
    </x:row>
    <x:row r="16">
      <x:c r="A16" s="7" t="n">
        <x:v>9</x:v>
      </x:c>
      <x:c r="B16" s="36" t="n">
        <x:f>B15*(1+Inputs!B17)</x:f>
        <x:v>132453488997.51639</x:v>
      </x:c>
      <x:c r="C16" s="7" t="n">
        <x:f>1/(1+Inputs!B14)^9</x:f>
        <x:v>0.42409761837248466</x:v>
      </x:c>
      <x:c r="D16" s="7" t="n">
        <x:f>B16*C16</x:f>
        <x:v>56173209228.9728</x:v>
      </x:c>
      <x:c r="E16" s="7" t="str">
        <x:v>2.5% long-run growth</x:v>
      </x:c>
      <x:c r="F16" s="7"/>
    </x:row>
    <x:row r="17">
      <x:c r="A17" s="7" t="n">
        <x:v>10</x:v>
      </x:c>
      <x:c r="B17" s="36" t="n">
        <x:f>B16*(1+Inputs!B17)</x:f>
        <x:v>135764826222.45428</x:v>
      </x:c>
      <x:c r="C17" s="7" t="n">
        <x:f>1/(1+Inputs!B14)^10</x:f>
        <x:v>0.3855432894295315</x:v>
      </x:c>
      <x:c r="D17" s="7" t="n">
        <x:f>B17*C17</x:f>
        <x:v>52343217690.633736</x:v>
      </x:c>
      <x:c r="E17" s="7" t="str">
        <x:v>2.5% long-run growth</x:v>
      </x:c>
      <x:c r="F17" s="7"/>
    </x:row>
    <x:row r="18">
      <x:c r="A18" s="7"/>
      <x:c r="B18" s="36"/>
      <x:c r="C18" s="7"/>
      <x:c r="D18" s="7"/>
      <x:c r="E18" s="7"/>
      <x:c r="F18" s="7"/>
    </x:row>
    <x:row r="19">
      <x:c r="A19" s="14" t="str">
        <x:v>PV of Forecast FCF</x:v>
      </x:c>
      <x:c r="B19" s="37" t="n">
        <x:f>SUM(D8:D17)</x:f>
        <x:v>725139074123.5208</x:v>
      </x:c>
      <x:c r="C19" s="7"/>
      <x:c r="D19" s="7"/>
      <x:c r="E19" s="7" t="str">
        <x:v>Sum years 1-10</x:v>
      </x:c>
      <x:c r="F19" s="7"/>
    </x:row>
    <x:row r="20">
      <x:c r="A20" s="14" t="str">
        <x:v>Terminal Value</x:v>
      </x:c>
      <x:c r="B20" s="37" t="n">
        <x:f>B17*(1+Inputs!B15)/(Inputs!B14-Inputs!B15)</x:f>
        <x:v>1855452625040.208</x:v>
      </x:c>
      <x:c r="C20" s="7"/>
      <x:c r="D20" s="7"/>
      <x:c r="E20" s="7" t="str">
        <x:v>Year 10 FCF × (1+g)/(WACC-g)</x:v>
      </x:c>
      <x:c r="F20" s="7"/>
    </x:row>
    <x:row r="21">
      <x:c r="A21" s="14" t="str">
        <x:v>PV of Terminal Value</x:v>
      </x:c>
      <x:c r="B21" s="37" t="n">
        <x:f>B20/(1+Inputs!B14)^10</x:f>
        <x:v>715357308438.6609</x:v>
      </x:c>
      <x:c r="C21" s="7"/>
      <x:c r="D21" s="7"/>
      <x:c r="E21" s="7" t="str">
        <x:v>Discount terminal value to present</x:v>
      </x:c>
      <x:c r="F21" s="7"/>
    </x:row>
    <x:row r="22">
      <x:c r="A22" s="14" t="str">
        <x:v>Enterprise Value</x:v>
      </x:c>
      <x:c r="B22" s="37" t="n">
        <x:f>B19+B21</x:f>
        <x:v>1440496382562.1816</x:v>
      </x:c>
      <x:c r="C22" s="7"/>
      <x:c r="D22" s="7"/>
      <x:c r="E22" s="7" t="str">
        <x:v>PV FCF + PV terminal</x:v>
      </x:c>
      <x:c r="F22" s="7"/>
    </x:row>
    <x:row r="23">
      <x:c r="A23" s="14" t="str">
        <x:v>Less: Net Debt</x:v>
      </x:c>
      <x:c r="B23" s="37" t="n">
        <x:v>807000000</x:v>
      </x:c>
      <x:c r="C23" s="7"/>
      <x:c r="D23" s="7"/>
      <x:c r="E23" s="7" t="str">
        <x:v>Actual 2026A net debt</x:v>
      </x:c>
      <x:c r="F23" s="7"/>
    </x:row>
    <x:row r="24">
      <x:c r="A24" s="14" t="str">
        <x:v>Equity Value</x:v>
      </x:c>
      <x:c r="B24" s="37" t="n">
        <x:f>B22-B23</x:f>
        <x:v>1439689382562.1816</x:v>
      </x:c>
      <x:c r="C24" s="7"/>
      <x:c r="D24" s="7"/>
      <x:c r="E24" s="7" t="str">
        <x:v>Enterprise value - net debt</x:v>
      </x:c>
      <x:c r="F24" s="7"/>
    </x:row>
    <x:row r="25">
      <x:c r="A25" s="18" t="str">
        <x:v>DCF Target / Share</x:v>
      </x:c>
      <x:c r="B25" s="40" t="n">
        <x:f>B24/Inputs!B12</x:f>
        <x:v>59.6218631572975</x:v>
      </x:c>
      <x:c r="C25" s="7"/>
      <x:c r="D25" s="7"/>
      <x:c r="E25" s="7" t="str">
        <x:v>Equity value / shares</x:v>
      </x:c>
      <x:c r="F25" s="7" t="str">
        <x:v>Engine output: $59.62</x:v>
      </x:c>
    </x:row>
    <x:row r="26">
      <x:c r="A26" s="7"/>
      <x:c r="B26" s="12"/>
      <x:c r="C26" s="7"/>
      <x:c r="D26" s="7"/>
      <x:c r="E26" s="7"/>
      <x:c r="F26" s="7"/>
    </x:row>
    <x:row r="27">
      <x:c r="A27" s="7" t="str">
        <x:v>EV/EBITDA Reproduction</x:v>
      </x:c>
      <x:c r="B27" s="12" t="str">
        <x:v>Value</x:v>
      </x:c>
      <x:c r="C27" s="7"/>
      <x:c r="D27" s="7"/>
      <x:c r="E27" s="7" t="str"/>
      <x:c r="F27" s="7"/>
    </x:row>
    <x:row r="28">
      <x:c r="A28" s="7" t="str">
        <x:v>2027E EBITDA</x:v>
      </x:c>
      <x:c r="B28" s="36" t="n">
        <x:v>159848104500</x:v>
      </x:c>
      <x:c r="C28" s="7"/>
      <x:c r="D28" s="7"/>
      <x:c r="E28" s="7" t="str">
        <x:v>First forecast year</x:v>
      </x:c>
      <x:c r="F28" s="7"/>
    </x:row>
    <x:row r="29">
      <x:c r="A29" s="7" t="str">
        <x:v>Target Multiple</x:v>
      </x:c>
      <x:c r="B29" s="42" t="n">
        <x:v>43.452219</x:v>
      </x:c>
      <x:c r="C29" s="7"/>
      <x:c r="D29" s="7"/>
      <x:c r="E29" s="7" t="str">
        <x:v>Historical median</x:v>
      </x:c>
      <x:c r="F29" s="7"/>
    </x:row>
    <x:row r="30">
      <x:c r="A30" s="7" t="str">
        <x:v>Enterprise Value</x:v>
      </x:c>
      <x:c r="B30" s="36" t="n">
        <x:f>B28*B29</x:f>
        <x:v>6945754843468.886</x:v>
      </x:c>
      <x:c r="C30" s="7"/>
      <x:c r="D30" s="7"/>
      <x:c r="E30" s="7" t="str">
        <x:v>EBITDA × multiple</x:v>
      </x:c>
      <x:c r="F30" s="7"/>
    </x:row>
    <x:row r="31">
      <x:c r="A31" s="22" t="str">
        <x:v>Target / Share</x:v>
      </x:c>
      <x:c r="B31" s="44" t="n">
        <x:f>(B30-Inputs!B11)/Inputs!B12</x:f>
        <x:v>287.6111576380165</x:v>
      </x:c>
      <x:c r="C31" s="7"/>
      <x:c r="D31" s="7"/>
      <x:c r="E31" s="7" t="str">
        <x:v>(EV - net debt) / shares</x:v>
      </x:c>
      <x:c r="F31" s="7"/>
    </x:row>
    <x:row r="32">
      <x:c r="A32" s="7"/>
      <x:c r="B32" s="7"/>
      <x:c r="C32" s="7"/>
      <x:c r="D32" s="7"/>
      <x:c r="E32" s="7"/>
      <x:c r="F32" s="7"/>
    </x:row>
    <x:row r="33">
      <x:c r="A33" s="7"/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7"/>
      <x:c r="B36" s="7"/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/>
      <x:c r="B38" s="7"/>
      <x:c r="C38" s="7"/>
      <x:c r="D38" s="7"/>
      <x:c r="E38" s="7"/>
      <x:c r="F38" s="7"/>
    </x:row>
    <x:row r="39">
      <x:c r="A39" s="7"/>
      <x:c r="B39" s="7"/>
      <x:c r="C39" s="7"/>
      <x:c r="D39" s="7"/>
      <x:c r="E39" s="7"/>
      <x:c r="F39" s="7"/>
    </x:row>
    <x:row r="40">
      <x:c r="A40" s="7"/>
      <x:c r="B40" s="7"/>
      <x:c r="C40" s="7"/>
      <x:c r="D40" s="7"/>
      <x:c r="E40" s="7"/>
      <x:c r="F4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6" t="str">
        <x:v>Ticker</x:v>
      </x:c>
      <x:c r="B1" s="6" t="str">
        <x:v>Upstream reconstructed target</x:v>
      </x:c>
      <x:c r="C1" s="6" t="str">
        <x:v>Modified target</x:v>
      </x:c>
      <x:c r="D1" s="6"/>
      <x:c r="E1" s="6"/>
      <x:c r="F1" s="6"/>
    </x:row>
    <x:row r="2">
      <x:c r="A2" s="7" t="str">
        <x:v>NVDA</x:v>
      </x:c>
      <x:c r="B2" s="46" t="n">
        <x:v>82.49</x:v>
      </x:c>
      <x:c r="C2" s="46" t="n">
        <x:v>184.52</x:v>
      </x:c>
      <x:c r="D2" s="7"/>
      <x:c r="E2" s="7"/>
      <x:c r="F2" s="7"/>
    </x:row>
    <x:row r="3">
      <x:c r="A3" s="7" t="str">
        <x:v>AMD</x:v>
      </x:c>
      <x:c r="B3" s="46" t="n">
        <x:v>111.97</x:v>
      </x:c>
      <x:c r="C3" s="46" t="n">
        <x:v>204.46</x:v>
      </x:c>
      <x:c r="D3" s="7"/>
      <x:c r="E3" s="7"/>
      <x:c r="F3" s="7"/>
    </x:row>
    <x:row r="4">
      <x:c r="A4" s="7" t="str">
        <x:v>INTC</x:v>
      </x:c>
      <x:c r="B4" s="46" t="n">
        <x:v>40.24</x:v>
      </x:c>
      <x:c r="C4" s="46" t="n">
        <x:v>77.57</x:v>
      </x:c>
      <x:c r="D4" s="7"/>
      <x:c r="E4" s="7"/>
      <x:c r="F4" s="7"/>
    </x:row>
    <x:row r="5">
      <x:c r="A5" s="7" t="str">
        <x:v>AAPL</x:v>
      </x:c>
      <x:c r="B5" s="46" t="n">
        <x:v>159.31</x:v>
      </x:c>
      <x:c r="C5" s="46" t="n">
        <x:v>198.09</x:v>
      </x:c>
      <x:c r="D5" s="7"/>
      <x:c r="E5" s="7"/>
      <x:c r="F5" s="7"/>
    </x:row>
    <x:row r="6">
      <x:c r="A6" s="7" t="str">
        <x:v>MSFT</x:v>
      </x:c>
      <x:c r="B6" s="46" t="n">
        <x:v>347.73</x:v>
      </x:c>
      <x:c r="C6" s="46" t="n">
        <x:v>471.33</x:v>
      </x:c>
      <x:c r="D6" s="7"/>
      <x:c r="E6" s="7"/>
      <x:c r="F6" s="7"/>
    </x:row>
    <x:row r="7">
      <x:c r="A7" s="7"/>
      <x:c r="B7" s="7"/>
      <x:c r="C7" s="7"/>
      <x:c r="D7" s="7"/>
      <x:c r="E7" s="7"/>
      <x:c r="F7" s="7"/>
    </x:row>
    <x:row r="8">
      <x:c r="A8" s="7"/>
      <x:c r="B8" s="7"/>
      <x:c r="C8" s="7"/>
      <x:c r="D8" s="7"/>
      <x:c r="E8" s="7"/>
      <x:c r="F8" s="7"/>
    </x:row>
    <x:row r="9">
      <x:c r="A9" s="7"/>
      <x:c r="B9" s="7"/>
      <x:c r="C9" s="7"/>
      <x:c r="D9" s="7"/>
      <x:c r="E9" s="7"/>
      <x:c r="F9" s="7"/>
    </x:row>
    <x:row r="10">
      <x:c r="A10" s="7"/>
      <x:c r="B10" s="7"/>
      <x:c r="C10" s="7"/>
      <x:c r="D10" s="7"/>
      <x:c r="E10" s="7"/>
      <x:c r="F10" s="7"/>
    </x:row>
    <x:row r="11">
      <x:c r="A11" s="7"/>
      <x:c r="B11" s="7"/>
      <x:c r="C11" s="7"/>
      <x:c r="D11" s="7"/>
      <x:c r="E11" s="7"/>
      <x:c r="F11" s="7"/>
    </x:row>
    <x:row r="12">
      <x:c r="A12" s="7"/>
      <x:c r="B12" s="7"/>
      <x:c r="C12" s="7"/>
      <x:c r="D12" s="7"/>
      <x:c r="E12" s="7"/>
      <x:c r="F12" s="7"/>
    </x:row>
    <x:row r="13">
      <x:c r="A13" s="7"/>
      <x:c r="B13" s="7"/>
      <x:c r="C13" s="7"/>
      <x:c r="D13" s="7"/>
      <x:c r="E13" s="7"/>
      <x:c r="F13" s="7"/>
    </x:row>
    <x:row r="14">
      <x:c r="A14" s="7"/>
      <x:c r="B14" s="7"/>
      <x:c r="C14" s="7"/>
      <x:c r="D14" s="7"/>
      <x:c r="E14" s="7"/>
      <x:c r="F14" s="7"/>
    </x:row>
    <x:row r="15">
      <x:c r="A15" s="7"/>
      <x:c r="B15" s="7"/>
      <x:c r="C15" s="7"/>
      <x:c r="D15" s="7"/>
      <x:c r="E15" s="7"/>
      <x:c r="F15" s="7"/>
    </x:row>
    <x:row r="16">
      <x:c r="A16" s="7"/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  <x:row r="21">
      <x:c r="A21" s="7"/>
      <x:c r="B21" s="7"/>
      <x:c r="C21" s="7"/>
      <x:c r="D21" s="7"/>
      <x:c r="E21" s="7"/>
      <x:c r="F21" s="7"/>
    </x:row>
    <x:row r="22">
      <x:c r="A22" s="7"/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  <x:row r="24">
      <x:c r="A24" s="7"/>
      <x:c r="B24" s="7"/>
      <x:c r="C24" s="7"/>
      <x:c r="D24" s="7"/>
      <x:c r="E24" s="7"/>
      <x:c r="F24" s="7"/>
    </x:row>
    <x:row r="25">
      <x:c r="A25" s="7"/>
      <x:c r="B25" s="7"/>
      <x:c r="C25" s="7"/>
      <x:c r="D25" s="7"/>
      <x:c r="E25" s="7"/>
      <x:c r="F25" s="7"/>
    </x:row>
    <x:row r="26">
      <x:c r="A26" s="7"/>
      <x:c r="B26" s="7"/>
      <x:c r="C26" s="7"/>
      <x:c r="D26" s="7"/>
      <x:c r="E26" s="7"/>
      <x:c r="F26" s="7"/>
    </x:row>
    <x:row r="27">
      <x:c r="A27" s="7"/>
      <x:c r="B27" s="7"/>
      <x:c r="C27" s="7"/>
      <x:c r="D27" s="7"/>
      <x:c r="E27" s="7"/>
      <x:c r="F27" s="7"/>
    </x:row>
    <x:row r="28">
      <x:c r="A28" s="7"/>
      <x:c r="B28" s="7"/>
      <x:c r="C28" s="7"/>
      <x:c r="D28" s="7"/>
      <x:c r="E28" s="7"/>
      <x:c r="F28" s="7"/>
    </x:row>
    <x:row r="29">
      <x:c r="A29" s="7"/>
      <x:c r="B29" s="7"/>
      <x:c r="C29" s="7"/>
      <x:c r="D29" s="7"/>
      <x:c r="E29" s="7"/>
      <x:c r="F29" s="7"/>
    </x:row>
    <x:row r="30">
      <x:c r="A30" s="7"/>
      <x:c r="B30" s="7"/>
      <x:c r="C30" s="7"/>
      <x:c r="D30" s="7"/>
      <x:c r="E30" s="7"/>
      <x:c r="F30" s="7"/>
    </x:row>
    <x:row r="31">
      <x:c r="A31" s="7"/>
      <x:c r="B31" s="7"/>
      <x:c r="C31" s="7"/>
      <x:c r="D31" s="7"/>
      <x:c r="E31" s="7"/>
      <x:c r="F31" s="7"/>
    </x:row>
    <x:row r="32">
      <x:c r="A32" s="7"/>
      <x:c r="B32" s="7"/>
      <x:c r="C32" s="7"/>
      <x:c r="D32" s="7"/>
      <x:c r="E32" s="7"/>
      <x:c r="F32" s="7"/>
    </x:row>
    <x:row r="33">
      <x:c r="A33" s="7"/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7"/>
      <x:c r="B36" s="7"/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/>
      <x:c r="B38" s="7"/>
      <x:c r="C38" s="7"/>
      <x:c r="D38" s="7"/>
      <x:c r="E38" s="7"/>
      <x:c r="F38" s="7"/>
    </x:row>
    <x:row r="39">
      <x:c r="A39" s="7"/>
      <x:c r="B39" s="7"/>
      <x:c r="C39" s="7"/>
      <x:c r="D39" s="7"/>
      <x:c r="E39" s="7"/>
      <x:c r="F39" s="7"/>
    </x:row>
    <x:row r="40">
      <x:c r="A40" s="7"/>
      <x:c r="B40" s="7"/>
      <x:c r="C40" s="7"/>
      <x:c r="D40" s="7"/>
      <x:c r="E40" s="7"/>
      <x:c r="F40" s="7"/>
    </x:row>
  </x:sheetData>
  <x:pageMargins left="0.7" right="0.7" top="0.75" bottom="0.75" header="0.3" footer="0.3"/>
  <x:drawing xmlns:r="http://schemas.openxmlformats.org/officeDocument/2006/relationships" r:id="R44dd6f006a6243af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0" hidden="0" customWidth="1"/>
  </x:cols>
  <x:sheetData>
    <x:row r="1">
      <x:c r="A1" s="6" t="str">
        <x:v>Item</x:v>
      </x:c>
      <x:c r="B1" s="6" t="str">
        <x:v>Source</x:v>
      </x:c>
      <x:c r="C1" s="6"/>
      <x:c r="D1" s="6"/>
      <x:c r="E1" s="6"/>
      <x:c r="F1" s="6"/>
    </x:row>
    <x:row r="2">
      <x:c r="A2" s="7" t="str">
        <x:v>Saved pipeline inputs</x:v>
      </x:c>
      <x:c r="B2" s="7" t="str">
        <x:v>artifacts/NVDA/analysis/*.csv</x:v>
      </x:c>
      <x:c r="C2" s="7"/>
      <x:c r="D2" s="7"/>
      <x:c r="E2" s="7"/>
      <x:c r="F2" s="7"/>
    </x:row>
    <x:row r="3">
      <x:c r="A3" s="7" t="str">
        <x:v>NVIDIA market price / cap</x:v>
      </x:c>
      <x:c r="B3" s="7" t="str">
        <x:v>Saved Professional_Equity_Report_NVDA.html</x:v>
      </x:c>
      <x:c r="C3" s="7"/>
      <x:c r="D3" s="7"/>
      <x:c r="E3" s="7"/>
      <x:c r="F3" s="7"/>
    </x:row>
    <x:row r="4">
      <x:c r="A4" s="7" t="str">
        <x:v>Upstream valuation engine</x:v>
      </x:c>
      <x:c r="B4" s="7" t="str">
        <x:v>https://github.com/AI4Finance-Foundation/FinRobot/blob/master/finrobot_equity/core/src/modules/valuation_engine.py</x:v>
      </x:c>
      <x:c r="C4" s="7"/>
      <x:c r="D4" s="7"/>
      <x:c r="E4" s="7"/>
      <x:c r="F4" s="7"/>
    </x:row>
    <x:row r="5">
      <x:c r="A5" s="7" t="str">
        <x:v>Apple 2025 10-K</x:v>
      </x:c>
      <x:c r="B5" s="7" t="str">
        <x:v>https://www.sec.gov/Archives/edgar/data/320193/000032019325000079/aapl-20250927.htm</x:v>
      </x:c>
      <x:c r="C5" s="7"/>
      <x:c r="D5" s="7"/>
      <x:c r="E5" s="7"/>
      <x:c r="F5" s="7"/>
    </x:row>
    <x:row r="6">
      <x:c r="A6" s="7" t="str">
        <x:v>Microsoft 2026 10-K</x:v>
      </x:c>
      <x:c r="B6" s="7" t="str">
        <x:v>https://www.sec.gov/Archives/edgar/data/789019/000119312526323660/msft-20260630.htm</x:v>
      </x:c>
      <x:c r="C6" s="7"/>
      <x:c r="D6" s="7"/>
      <x:c r="E6" s="7"/>
      <x:c r="F6" s="7"/>
    </x:row>
    <x:row r="7">
      <x:c r="A7" s="7"/>
      <x:c r="B7" s="7"/>
      <x:c r="C7" s="7"/>
      <x:c r="D7" s="7"/>
      <x:c r="E7" s="7"/>
      <x:c r="F7" s="7"/>
    </x:row>
    <x:row r="8">
      <x:c r="A8" s="7"/>
      <x:c r="B8" s="7"/>
      <x:c r="C8" s="7"/>
      <x:c r="D8" s="7"/>
      <x:c r="E8" s="7"/>
      <x:c r="F8" s="7"/>
    </x:row>
    <x:row r="9">
      <x:c r="A9" s="7"/>
      <x:c r="B9" s="7"/>
      <x:c r="C9" s="7"/>
      <x:c r="D9" s="7"/>
      <x:c r="E9" s="7"/>
      <x:c r="F9" s="7"/>
    </x:row>
    <x:row r="10">
      <x:c r="A10" s="7"/>
      <x:c r="B10" s="7"/>
      <x:c r="C10" s="7"/>
      <x:c r="D10" s="7"/>
      <x:c r="E10" s="7"/>
      <x:c r="F10" s="7"/>
    </x:row>
    <x:row r="11">
      <x:c r="A11" s="7"/>
      <x:c r="B11" s="7"/>
      <x:c r="C11" s="7"/>
      <x:c r="D11" s="7"/>
      <x:c r="E11" s="7"/>
      <x:c r="F11" s="7"/>
    </x:row>
    <x:row r="12">
      <x:c r="A12" s="7"/>
      <x:c r="B12" s="7"/>
      <x:c r="C12" s="7"/>
      <x:c r="D12" s="7"/>
      <x:c r="E12" s="7"/>
      <x:c r="F12" s="7"/>
    </x:row>
    <x:row r="13">
      <x:c r="A13" s="7"/>
      <x:c r="B13" s="7"/>
      <x:c r="C13" s="7"/>
      <x:c r="D13" s="7"/>
      <x:c r="E13" s="7"/>
      <x:c r="F13" s="7"/>
    </x:row>
    <x:row r="14">
      <x:c r="A14" s="7"/>
      <x:c r="B14" s="7"/>
      <x:c r="C14" s="7"/>
      <x:c r="D14" s="7"/>
      <x:c r="E14" s="7"/>
      <x:c r="F14" s="7"/>
    </x:row>
    <x:row r="15">
      <x:c r="A15" s="7"/>
      <x:c r="B15" s="7"/>
      <x:c r="C15" s="7"/>
      <x:c r="D15" s="7"/>
      <x:c r="E15" s="7"/>
      <x:c r="F15" s="7"/>
    </x:row>
    <x:row r="16">
      <x:c r="A16" s="7"/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  <x:row r="18">
      <x:c r="A18" s="7"/>
      <x:c r="B18" s="7"/>
      <x:c r="C18" s="7"/>
      <x:c r="D18" s="7"/>
      <x:c r="E18" s="7"/>
      <x:c r="F18" s="7"/>
    </x:row>
    <x:row r="19">
      <x:c r="A19" s="7"/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  <x:row r="21">
      <x:c r="A21" s="7"/>
      <x:c r="B21" s="7"/>
      <x:c r="C21" s="7"/>
      <x:c r="D21" s="7"/>
      <x:c r="E21" s="7"/>
      <x:c r="F21" s="7"/>
    </x:row>
    <x:row r="22">
      <x:c r="A22" s="7"/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  <x:row r="24">
      <x:c r="A24" s="7"/>
      <x:c r="B24" s="7"/>
      <x:c r="C24" s="7"/>
      <x:c r="D24" s="7"/>
      <x:c r="E24" s="7"/>
      <x:c r="F24" s="7"/>
    </x:row>
    <x:row r="25">
      <x:c r="A25" s="7"/>
      <x:c r="B25" s="7"/>
      <x:c r="C25" s="7"/>
      <x:c r="D25" s="7"/>
      <x:c r="E25" s="7"/>
      <x:c r="F25" s="7"/>
    </x:row>
    <x:row r="26">
      <x:c r="A26" s="7"/>
      <x:c r="B26" s="7"/>
      <x:c r="C26" s="7"/>
      <x:c r="D26" s="7"/>
      <x:c r="E26" s="7"/>
      <x:c r="F26" s="7"/>
    </x:row>
    <x:row r="27">
      <x:c r="A27" s="7"/>
      <x:c r="B27" s="7"/>
      <x:c r="C27" s="7"/>
      <x:c r="D27" s="7"/>
      <x:c r="E27" s="7"/>
      <x:c r="F27" s="7"/>
    </x:row>
    <x:row r="28">
      <x:c r="A28" s="7"/>
      <x:c r="B28" s="7"/>
      <x:c r="C28" s="7"/>
      <x:c r="D28" s="7"/>
      <x:c r="E28" s="7"/>
      <x:c r="F28" s="7"/>
    </x:row>
    <x:row r="29">
      <x:c r="A29" s="7"/>
      <x:c r="B29" s="7"/>
      <x:c r="C29" s="7"/>
      <x:c r="D29" s="7"/>
      <x:c r="E29" s="7"/>
      <x:c r="F29" s="7"/>
    </x:row>
    <x:row r="30">
      <x:c r="A30" s="7"/>
      <x:c r="B30" s="7"/>
      <x:c r="C30" s="7"/>
      <x:c r="D30" s="7"/>
      <x:c r="E30" s="7"/>
      <x:c r="F30" s="7"/>
    </x:row>
    <x:row r="31">
      <x:c r="A31" s="7"/>
      <x:c r="B31" s="7"/>
      <x:c r="C31" s="7"/>
      <x:c r="D31" s="7"/>
      <x:c r="E31" s="7"/>
      <x:c r="F31" s="7"/>
    </x:row>
    <x:row r="32">
      <x:c r="A32" s="7"/>
      <x:c r="B32" s="7"/>
      <x:c r="C32" s="7"/>
      <x:c r="D32" s="7"/>
      <x:c r="E32" s="7"/>
      <x:c r="F32" s="7"/>
    </x:row>
    <x:row r="33">
      <x:c r="A33" s="7"/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7"/>
      <x:c r="B36" s="7"/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/>
      <x:c r="B38" s="7"/>
      <x:c r="C38" s="7"/>
      <x:c r="D38" s="7"/>
      <x:c r="E38" s="7"/>
      <x:c r="F38" s="7"/>
    </x:row>
    <x:row r="39">
      <x:c r="A39" s="7"/>
      <x:c r="B39" s="7"/>
      <x:c r="C39" s="7"/>
      <x:c r="D39" s="7"/>
      <x:c r="E39" s="7"/>
      <x:c r="F39" s="7"/>
    </x:row>
    <x:row r="40">
      <x:c r="A40" s="7"/>
      <x:c r="B40" s="7"/>
      <x:c r="C40" s="7"/>
      <x:c r="D40" s="7"/>
      <x:c r="E40" s="7"/>
      <x:c r="F40" s="7"/>
    </x:row>
  </x:sheetData>
  <x:pageMargins left="0.7" right="0.7" top="0.75" bottom="0.75" header="0.3" footer="0.3"/>
</x:worksheet>
</file>